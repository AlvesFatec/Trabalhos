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ca67b143d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 Geral" sheetId="1" r:id="R3c52d58f70004a59"/>
    <x:sheet xmlns:r="http://schemas.openxmlformats.org/officeDocument/2006/relationships" name="Product Backlog" sheetId="2" r:id="Ra829db6371a54625"/>
    <x:sheet xmlns:r="http://schemas.openxmlformats.org/officeDocument/2006/relationships" name="Kanban - Tarefas" sheetId="3" r:id="Rdc469339734049d0"/>
    <x:sheet xmlns:r="http://schemas.openxmlformats.org/officeDocument/2006/relationships" name="Orientações" sheetId="4" r:id="R254a5dc7e8fa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83B50"/>
      <x:name val="Carlito"/>
    </x:font>
    <x:font>
      <x:b/>
      <x:sz val="11"/>
      <x:color rgb="FFFFFFFF"/>
      <x:name val="Carlito"/>
    </x:font>
    <x:font>
      <x:b/>
      <x:sz val="11"/>
      <x:color rgb="FF183B5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0"/>
      </x:patternFill>
    </x:fill>
    <x:fill>
      <x:patternFill patternType="solid">
        <x:fgColor rgb="FFEAF4F4"/>
      </x:patternFill>
    </x:fill>
    <x:fill>
      <x:patternFill patternType="solid">
        <x:fgColor rgb="FF1D6472"/>
      </x:patternFill>
    </x:fill>
    <x:fill>
      <x:patternFill patternType="solid">
        <x:fgColor rgb="FFF0F7FA"/>
      </x:patternFill>
    </x:fill>
    <x:fill>
      <x:patternFill patternType="solid">
        <x:fgColor rgb="FFF4F8FA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a18c6411a46fa" /><Relationship Type="http://schemas.openxmlformats.org/officeDocument/2006/relationships/theme" Target="/xl/theme/theme1.xml" Id="R90444e3bd4ef4bd5" /><Relationship Type="http://schemas.openxmlformats.org/officeDocument/2006/relationships/sharedStrings" Target="/xl/sharedStrings.xml" Id="Reb669f5285f34619" /><Relationship Type="http://schemas.openxmlformats.org/officeDocument/2006/relationships/worksheet" Target="/xl/worksheets/sheet1.xml" Id="R3c52d58f70004a59" /><Relationship Type="http://schemas.openxmlformats.org/officeDocument/2006/relationships/worksheet" Target="/xl/worksheets/sheet2.xml" Id="Ra829db6371a54625" /><Relationship Type="http://schemas.openxmlformats.org/officeDocument/2006/relationships/worksheet" Target="/xl/worksheets/sheet3.xml" Id="Rdc469339734049d0" /><Relationship Type="http://schemas.openxmlformats.org/officeDocument/2006/relationships/worksheet" Target="/xl/worksheets/sheet4.xml" Id="R254a5dc7e8fa42e8" /></Relationships>
</file>

<file path=xl/tables/table1.xml><?xml version="1.0" encoding="utf-8"?>
<x:table xmlns:x="http://schemas.openxmlformats.org/spreadsheetml/2006/main" id="1" name="TabelaProductBacklog" displayName="TabelaProductBacklog" ref="A4:K13" headerRowCount="1" totalsRowCount="0" totalsRowShown="0">
  <x:tableColumns count="11">
    <x:tableColumn id="1" name="ID"/>
    <x:tableColumn id="2" name="Funcionalidade"/>
    <x:tableColumn id="3" name="História do usuário"/>
    <x:tableColumn id="4" name="Importância"/>
    <x:tableColumn id="5" name="Motivo da importância"/>
    <x:tableColumn id="6" name="Dependências"/>
    <x:tableColumn id="7" name="Protótipo proposto"/>
    <x:tableColumn id="8" name="Responsável"/>
    <x:tableColumn id="9" name="Situação"/>
    <x:tableColumn id="10" name="Link / evidência"/>
    <x:tableColumn id="11" name="Critérios de ace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Kanban" displayName="TabelaKanban" ref="A4:J24" headerRowCount="1" totalsRowCount="0" totalsRowShown="0">
  <x:tableColumns count="10">
    <x:tableColumn id="1" name="ID"/>
    <x:tableColumn id="2" name="Frente"/>
    <x:tableColumn id="3" name="Título do cartão"/>
    <x:tableColumn id="4" name="Descrição"/>
    <x:tableColumn id="5" name="Evidência / pronto quando"/>
    <x:tableColumn id="6" name="Situação"/>
    <x:tableColumn id="7" name="Responsável"/>
    <x:tableColumn id="8" name="Importância"/>
    <x:tableColumn id="9" name="História ligada"/>
    <x:tableColumn id="10" name="Link / evid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d22677f9e04c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8b93598b37446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" hidden="0" customWidth="1"/>
    <x:col min="3" max="3" width="18" hidden="0" customWidth="1"/>
    <x:col min="4" max="4" width="12" hidden="0" customWidth="1"/>
    <x:col min="5" max="5" width="5" hidden="0" customWidth="1"/>
    <x:col min="6" max="6" width="25" hidden="0" customWidth="1"/>
    <x:col min="7" max="7" width="5" hidden="0" customWidth="1"/>
    <x:col min="8" max="8" width="16" hidden="0" customWidth="1"/>
  </x:cols>
  <x:sheetData>
    <x:row r="1" ht="40" customHeight="1">
      <x:c r="A1" s="4" t="str">
        <x:v>AULA EM DIA · PAINEL DE ACOMPANHAMENTO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Planejamento inicial do projeto. Status e responsáveis só devem ser atualizados de acordo com evidências reais.</x:v>
      </x:c>
      <x:c r="B2" s="11"/>
      <x:c r="C2" s="11"/>
      <x:c r="D2" s="11"/>
      <x:c r="E2" s="11"/>
      <x:c r="F2" s="11"/>
      <x:c r="G2" s="11"/>
      <x:c r="H2" s="11"/>
    </x:row>
    <x:row r="4" ht="29" customHeight="1">
      <x:c r="A4" s="17" t="str">
        <x:v>Produto: 9 User Stories</x:v>
      </x:c>
      <x:c r="B4" s="17"/>
      <x:c r="C4" s="17"/>
      <x:c r="D4" s="17"/>
      <x:c r="F4" s="17" t="str">
        <x:v>Fluxo: 20 cartões planejados</x:v>
      </x:c>
      <x:c r="G4" s="17"/>
      <x:c r="H4" s="17"/>
    </x:row>
    <x:row r="6" ht="29" customHeight="1">
      <x:c r="A6" t="str">
        <x:v>Histórias cadastradas</x:v>
      </x:c>
      <x:c r="C6" s="30" t="n">
        <x:f>COUNTA('Product Backlog'!A5:A13)</x:f>
        <x:v>9</x:v>
      </x:c>
      <x:c r="F6" t="str">
        <x:v>Cartões cadastrados</x:v>
      </x:c>
      <x:c r="H6" s="30" t="n">
        <x:f>COUNTA('Kanban - Tarefas'!A5:A24)</x:f>
        <x:v>20</x:v>
      </x:c>
    </x:row>
    <x:row r="7" ht="29" customHeight="1">
      <x:c r="A7" t="str">
        <x:v>Importância alta</x:v>
      </x:c>
      <x:c r="C7" s="30" t="n">
        <x:f>COUNTIF('Product Backlog'!D5:D13,"Alta")</x:f>
        <x:v>6</x:v>
      </x:c>
      <x:c r="F7" t="str">
        <x:v>A fazer</x:v>
      </x:c>
      <x:c r="H7" s="30" t="n">
        <x:f>COUNTIF('Kanban - Tarefas'!F5:F24,"A fazer")</x:f>
        <x:v>20</x:v>
      </x:c>
    </x:row>
    <x:row r="8" ht="29" customHeight="1">
      <x:c r="A8" t="str">
        <x:v>Importância média</x:v>
      </x:c>
      <x:c r="C8" s="30" t="n">
        <x:f>COUNTIF('Product Backlog'!D5:D13,"Média")</x:f>
        <x:v>2</x:v>
      </x:c>
      <x:c r="F8" t="str">
        <x:v>Em andamento</x:v>
      </x:c>
      <x:c r="H8" s="30" t="n">
        <x:f>COUNTIF('Kanban - Tarefas'!F5:F24,"Em andamento")</x:f>
        <x:v>0</x:v>
      </x:c>
    </x:row>
    <x:row r="9" ht="29" customHeight="1">
      <x:c r="A9" t="str">
        <x:v>Importância baixa</x:v>
      </x:c>
      <x:c r="C9" s="30" t="n">
        <x:f>COUNTIF('Product Backlog'!D5:D13,"Baixa")</x:f>
        <x:v>1</x:v>
      </x:c>
      <x:c r="F9" t="str">
        <x:v>Em revisão</x:v>
      </x:c>
      <x:c r="H9" s="30" t="n">
        <x:f>COUNTIF('Kanban - Tarefas'!F5:F24,"Em revisão")</x:f>
        <x:v>0</x:v>
      </x:c>
    </x:row>
    <x:row r="10" ht="29" customHeight="1">
      <x:c r="A10" t="str">
        <x:v>Histórias concluídas</x:v>
      </x:c>
      <x:c r="C10" s="30" t="n">
        <x:f>COUNTIF('Product Backlog'!I5:I13,"Concluído")</x:f>
        <x:v>0</x:v>
      </x:c>
      <x:c r="F10" t="str">
        <x:v>Concluídos</x:v>
      </x:c>
      <x:c r="H10" s="30" t="n">
        <x:f>COUNTIF('Kanban - Tarefas'!F5:F24,"Concluído")</x:f>
        <x:v>0</x:v>
      </x:c>
    </x:row>
    <x:row r="11" ht="29" customHeight="1">
      <x:c r="A11" t="str">
        <x:v>Histórias em andamento</x:v>
      </x:c>
      <x:c r="C11" s="30" t="n">
        <x:f>COUNTIF('Product Backlog'!I5:I13,"Em andamento")</x:f>
        <x:v>0</x:v>
      </x:c>
      <x:c r="F11" t="str">
        <x:v>Percentual concluído</x:v>
      </x:c>
      <x:c r="H11" s="36" t="n">
        <x:f>IF(H6=0,0,H10/H6)</x:f>
        <x:v>0</x:v>
      </x:c>
    </x:row>
    <x:row r="14" ht="25" customHeight="1">
      <x:c r="A14" s="17" t="str">
        <x:v>LEITURA DO PAINEL</x:v>
      </x:c>
      <x:c r="B14" s="17"/>
      <x:c r="C14" s="17"/>
      <x:c r="D14" s="17"/>
      <x:c r="E14" s="17"/>
      <x:c r="F14" s="17"/>
      <x:c r="G14" s="17"/>
      <x:c r="H14" s="17"/>
    </x:row>
    <x:row r="15" ht="28" customHeight="1">
      <x:c r="A15" s="42" t="str">
        <x:v>Este painel é alimentado pelas duas abas editáveis. Os itens foram cadastrados como “A fazer” por padrão, não porque o grupo tenha confirmado que não começou nenhuma tarefa. Atualize cada estado apenas com base em trabalho efetivamente realizado e anexe os links das evidências. Não confunda backlog planejado com funcionalidades implementadas.</x:v>
      </x:c>
      <x:c r="B15" s="42"/>
      <x:c r="C15" s="42"/>
      <x:c r="D15" s="42"/>
      <x:c r="E15" s="42"/>
      <x:c r="F15" s="42"/>
      <x:c r="G15" s="42"/>
      <x:c r="H15" s="42"/>
    </x:row>
    <x:row r="16" ht="28" customHeight="1">
      <x:c r="A16" s="42"/>
      <x:c r="B16" s="42"/>
      <x:c r="C16" s="42"/>
      <x:c r="D16" s="42"/>
      <x:c r="E16" s="42"/>
      <x:c r="F16" s="42"/>
      <x:c r="G16" s="42"/>
      <x:c r="H16" s="42"/>
    </x:row>
    <x:row r="17" ht="28" customHeight="1">
      <x:c r="A17" s="42"/>
      <x:c r="B17" s="42"/>
      <x:c r="C17" s="42"/>
      <x:c r="D17" s="42"/>
      <x:c r="E17" s="42"/>
      <x:c r="F17" s="42"/>
      <x:c r="G17" s="42"/>
      <x:c r="H17" s="42"/>
    </x:row>
  </x:sheetData>
  <x:mergeCells>
    <x:mergeCell ref="A1:H1"/>
    <x:mergeCell ref="A2:H2"/>
    <x:mergeCell ref="A4:D4"/>
    <x:mergeCell ref="F4:H4"/>
    <x:mergeCell ref="A14:H14"/>
    <x:mergeCell ref="A15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3" hidden="0" customWidth="1"/>
    <x:col min="3" max="3" width="37" hidden="0" customWidth="1"/>
    <x:col min="4" max="4" width="14" hidden="0" customWidth="1"/>
    <x:col min="5" max="5" width="31" hidden="0" customWidth="1"/>
    <x:col min="6" max="6" width="21" hidden="0" customWidth="1"/>
    <x:col min="7" max="7" width="16" hidden="0" customWidth="1"/>
    <x:col min="8" max="8" width="17" hidden="0" customWidth="1"/>
    <x:col min="9" max="9" width="16" hidden="0" customWidth="1"/>
    <x:col min="10" max="10" width="25" hidden="0" customWidth="1"/>
    <x:col min="11" max="11" width="38" hidden="0" customWidth="1"/>
  </x:cols>
  <x:sheetData>
    <x:row r="1" ht="40" customHeight="1">
      <x:c r="A1" s="4" t="str">
        <x:v>PRODUCT BACKLOG · AULA EM DIA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1" t="str">
        <x:v>9 histórias de usuário priorizadas de forma preliminar. Ordem e importância devem ser validadas pelo grupo e pela pesquisa.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2" customHeight="1">
      <x:c r="A4" s="19" t="str">
        <x:v>ID</x:v>
      </x:c>
      <x:c r="B4" s="19" t="str">
        <x:v>Funcionalidade</x:v>
      </x:c>
      <x:c r="C4" s="19" t="str">
        <x:v>História do usuário</x:v>
      </x:c>
      <x:c r="D4" s="19" t="str">
        <x:v>Importância</x:v>
      </x:c>
      <x:c r="E4" s="19" t="str">
        <x:v>Motivo da importância</x:v>
      </x:c>
      <x:c r="F4" s="19" t="str">
        <x:v>Dependências</x:v>
      </x:c>
      <x:c r="G4" s="19" t="str">
        <x:v>Protótipo proposto</x:v>
      </x:c>
      <x:c r="H4" s="19" t="str">
        <x:v>Responsável</x:v>
      </x:c>
      <x:c r="I4" s="19" t="str">
        <x:v>Situação</x:v>
      </x:c>
      <x:c r="J4" s="19" t="str">
        <x:v>Link / evidência</x:v>
      </x:c>
      <x:c r="K4" s="19" t="str">
        <x:v>Critérios de aceite</x:v>
      </x:c>
    </x:row>
    <x:row r="5" ht="58" customHeight="1">
      <x:c r="A5" s="24" t="str">
        <x:v>US01</x:v>
      </x:c>
      <x:c r="B5" s="24" t="str">
        <x:v>Cadastro e acesso</x:v>
      </x:c>
      <x:c r="C5" s="24" t="str">
        <x:v>Como professora, quero criar conta e acessar meu espaço para consultar materiais com privacidade.</x:v>
      </x:c>
      <x:c r="D5" s="24" t="str">
        <x:v>Alta</x:v>
      </x:c>
      <x:c r="E5" s="24" t="str">
        <x:v>Permite acesso pessoal aos planos.</x:v>
      </x:c>
      <x:c r="F5" s="24" t="str">
        <x:v>Nenhuma</x:v>
      </x:c>
      <x:c r="G5" s="24" t="str">
        <x:v>Baixa e média</x:v>
      </x:c>
      <x:c r="H5" s="24" t="str">
        <x:v>A definir</x:v>
      </x:c>
      <x:c r="I5" s="24" t="str">
        <x:v>A fazer</x:v>
      </x:c>
      <x:c r="J5" s="24" t="str"/>
      <x:c r="K5" s="24" t="str">
        <x:v>Cadastro validado; entrada na página inicial; separação de contas.</x:v>
      </x:c>
    </x:row>
    <x:row r="6" ht="58" customHeight="1">
      <x:c r="A6" s="24" t="str">
        <x:v>US02</x:v>
      </x:c>
      <x:c r="B6" s="24" t="str">
        <x:v>Turmas e disciplinas</x:v>
      </x:c>
      <x:c r="C6" s="24" t="str">
        <x:v>Como professora, quero cadastrar turmas e disciplinas para contextualizar o planejamento.</x:v>
      </x:c>
      <x:c r="D6" s="24" t="str">
        <x:v>Alta</x:v>
      </x:c>
      <x:c r="E6" s="24" t="str">
        <x:v>Organiza a informação necessária ao plano.</x:v>
      </x:c>
      <x:c r="F6" s="24" t="str">
        <x:v>US01</x:v>
      </x:c>
      <x:c r="G6" s="24" t="str">
        <x:v>Baixa e média</x:v>
      </x:c>
      <x:c r="H6" s="24" t="str">
        <x:v>A definir</x:v>
      </x:c>
      <x:c r="I6" s="24" t="str">
        <x:v>A fazer</x:v>
      </x:c>
      <x:c r="J6" s="24" t="str"/>
      <x:c r="K6" s="24" t="str">
        <x:v>Criar, validar e selecionar turma/disciplina cadastradas.</x:v>
      </x:c>
    </x:row>
    <x:row r="7" ht="58" customHeight="1">
      <x:c r="A7" s="24" t="str">
        <x:v>US03</x:v>
      </x:c>
      <x:c r="B7" s="24" t="str">
        <x:v>Criação de plano</x:v>
      </x:c>
      <x:c r="C7" s="24" t="str">
        <x:v>Como professora, quero criar um rascunho para registrar objetivos, atividades e avaliação.</x:v>
      </x:c>
      <x:c r="D7" s="24" t="str">
        <x:v>Alta</x:v>
      </x:c>
      <x:c r="E7" s="24" t="str">
        <x:v>É a função central da plataforma.</x:v>
      </x:c>
      <x:c r="F7" s="24" t="str">
        <x:v>US01; US02</x:v>
      </x:c>
      <x:c r="G7" s="24" t="str">
        <x:v>Baixa e média</x:v>
      </x:c>
      <x:c r="H7" s="24" t="str">
        <x:v>A definir</x:v>
      </x:c>
      <x:c r="I7" s="24" t="str">
        <x:v>A fazer</x:v>
      </x:c>
      <x:c r="J7" s="24" t="str"/>
      <x:c r="K7" s="24" t="str">
        <x:v>Preenchimento, validação e salvamento de rascunho.</x:v>
      </x:c>
    </x:row>
    <x:row r="8" ht="58" customHeight="1">
      <x:c r="A8" s="24" t="str">
        <x:v>US04</x:v>
      </x:c>
      <x:c r="B8" s="24" t="str">
        <x:v>Sugestões por IA</x:v>
      </x:c>
      <x:c r="C8" s="24" t="str">
        <x:v>Como professora, quero receber sugestões opcionais de IA para analisar e adaptar minhas ideias.</x:v>
      </x:c>
      <x:c r="D8" s="24" t="str">
        <x:v>Alta</x:v>
      </x:c>
      <x:c r="E8" s="24" t="str">
        <x:v>Diferencial proposto com mediação docente.</x:v>
      </x:c>
      <x:c r="F8" s="24" t="str">
        <x:v>US03</x:v>
      </x:c>
      <x:c r="G8" s="24" t="str">
        <x:v>Média</x:v>
      </x:c>
      <x:c r="H8" s="24" t="str">
        <x:v>A definir</x:v>
      </x:c>
      <x:c r="I8" s="24" t="str">
        <x:v>A fazer</x:v>
      </x:c>
      <x:c r="J8" s="24" t="str"/>
      <x:c r="K8" s="24" t="str">
        <x:v>Sugestão opcional identificada e passível de editar/descartar.</x:v>
      </x:c>
    </x:row>
    <x:row r="9" ht="58" customHeight="1">
      <x:c r="A9" s="24" t="str">
        <x:v>US05</x:v>
      </x:c>
      <x:c r="B9" s="24" t="str">
        <x:v>Revisão de plano</x:v>
      </x:c>
      <x:c r="C9" s="24" t="str">
        <x:v>Como professora, quero editar e finalizar um plano para manter o controle pedagógico.</x:v>
      </x:c>
      <x:c r="D9" s="24" t="str">
        <x:v>Alta</x:v>
      </x:c>
      <x:c r="E9" s="24" t="str">
        <x:v>Garante autonomia e decisão humana.</x:v>
      </x:c>
      <x:c r="F9" s="24" t="str">
        <x:v>US03; US04 (opcional)</x:v>
      </x:c>
      <x:c r="G9" s="24" t="str">
        <x:v>Média</x:v>
      </x:c>
      <x:c r="H9" s="24" t="str">
        <x:v>A definir</x:v>
      </x:c>
      <x:c r="I9" s="24" t="str">
        <x:v>A fazer</x:v>
      </x:c>
      <x:c r="J9" s="24" t="str"/>
      <x:c r="K9" s="24" t="str">
        <x:v>Editar, salvar e finalizar sem ação automática da IA.</x:v>
      </x:c>
    </x:row>
    <x:row r="10" ht="58" customHeight="1">
      <x:c r="A10" s="24" t="str">
        <x:v>US06</x:v>
      </x:c>
      <x:c r="B10" s="24" t="str">
        <x:v>Histórico e filtros</x:v>
      </x:c>
      <x:c r="C10" s="24" t="str">
        <x:v>Como professora, quero filtrar meus planejamentos para localizar documentos anteriores.</x:v>
      </x:c>
      <x:c r="D10" s="24" t="str">
        <x:v>Alta</x:v>
      </x:c>
      <x:c r="E10" s="24" t="str">
        <x:v>Recuperação e reuso de informação.</x:v>
      </x:c>
      <x:c r="F10" s="24" t="str">
        <x:v>US03</x:v>
      </x:c>
      <x:c r="G10" s="24" t="str">
        <x:v>Média</x:v>
      </x:c>
      <x:c r="H10" s="24" t="str">
        <x:v>A definir</x:v>
      </x:c>
      <x:c r="I10" s="24" t="str">
        <x:v>A fazer</x:v>
      </x:c>
      <x:c r="J10" s="24" t="str"/>
      <x:c r="K10" s="24" t="str">
        <x:v>Filtros por turma/disciplina/período e acesso autorizado.</x:v>
      </x:c>
    </x:row>
    <x:row r="11" ht="58" customHeight="1">
      <x:c r="A11" s="24" t="str">
        <x:v>US07</x:v>
      </x:c>
      <x:c r="B11" s="24" t="str">
        <x:v>Duplicação</x:v>
      </x:c>
      <x:c r="C11" s="24" t="str">
        <x:v>Como professora, quero duplicar um plano para adaptá-lo sem alterar o original.</x:v>
      </x:c>
      <x:c r="D11" s="24" t="str">
        <x:v>Média</x:v>
      </x:c>
      <x:c r="E11" s="24" t="str">
        <x:v>Ganho incremental de produtividade.</x:v>
      </x:c>
      <x:c r="F11" s="24" t="str">
        <x:v>US03; US06</x:v>
      </x:c>
      <x:c r="G11" s="24" t="str">
        <x:v>Futura</x:v>
      </x:c>
      <x:c r="H11" s="24" t="str">
        <x:v>A definir</x:v>
      </x:c>
      <x:c r="I11" s="24" t="str">
        <x:v>A fazer</x:v>
      </x:c>
      <x:c r="J11" s="24" t="str"/>
      <x:c r="K11" s="24" t="str">
        <x:v>Criar cópia com identificador e edição independentes.</x:v>
      </x:c>
    </x:row>
    <x:row r="12" ht="58" customHeight="1">
      <x:c r="A12" s="24" t="str">
        <x:v>US08</x:v>
      </x:c>
      <x:c r="B12" s="24" t="str">
        <x:v>Exportação PDF</x:v>
      </x:c>
      <x:c r="C12" s="24" t="str">
        <x:v>Como professora, quero exportar planos em PDF para consulta externa.</x:v>
      </x:c>
      <x:c r="D12" s="24" t="str">
        <x:v>Média</x:v>
      </x:c>
      <x:c r="E12" s="24" t="str">
        <x:v>Facilita uso fora da plataforma.</x:v>
      </x:c>
      <x:c r="F12" s="24" t="str">
        <x:v>US05</x:v>
      </x:c>
      <x:c r="G12" s="24" t="str">
        <x:v>Futura</x:v>
      </x:c>
      <x:c r="H12" s="24" t="str">
        <x:v>A definir</x:v>
      </x:c>
      <x:c r="I12" s="24" t="str">
        <x:v>A fazer</x:v>
      </x:c>
      <x:c r="J12" s="24" t="str"/>
      <x:c r="K12" s="24" t="str">
        <x:v>PDF com dados do plano, sem conteúdo de outros usuários.</x:v>
      </x:c>
    </x:row>
    <x:row r="13" ht="58" customHeight="1">
      <x:c r="A13" s="24" t="str">
        <x:v>US09</x:v>
      </x:c>
      <x:c r="B13" s="24" t="str">
        <x:v>Compartilhamento</x:v>
      </x:c>
      <x:c r="C13" s="24" t="str">
        <x:v>Como professora, quero compartilhar voluntariamente planos com pessoas autorizadas.</x:v>
      </x:c>
      <x:c r="D13" s="24" t="str">
        <x:v>Baixa</x:v>
      </x:c>
      <x:c r="E13" s="24" t="str">
        <x:v>Depende de decisões de permissão e privacidade.</x:v>
      </x:c>
      <x:c r="F13" s="24" t="str">
        <x:v>US01; US05</x:v>
      </x:c>
      <x:c r="G13" s="24" t="str">
        <x:v>Futura</x:v>
      </x:c>
      <x:c r="H13" s="24" t="str">
        <x:v>A definir</x:v>
      </x:c>
      <x:c r="I13" s="24" t="str">
        <x:v>A fazer</x:v>
      </x:c>
      <x:c r="J13" s="24" t="str"/>
      <x:c r="K13" s="24" t="str">
        <x:v>Acesso explícito e revogável, desativado por padrão.</x:v>
      </x:c>
    </x:row>
  </x:sheetData>
  <x:mergeCells>
    <x:mergeCell ref="A1:K1"/>
    <x:mergeCell ref="A2:K2"/>
  </x:mergeCells>
  <x:conditionalFormatting sqref="I5:I13">
    <x:cfRule type="expression" dxfId="0" priority="1">
      <x:formula>I5="Concluído"</x:formula>
    </x:cfRule>
    <x:cfRule type="expression" dxfId="1" priority="2">
      <x:formula>I5="Em andamento"</x:formula>
    </x:cfRule>
  </x:conditionalFormatting>
  <x:dataValidations count="2">
    <x:dataValidation type="list" sqref="D5:D13">
      <x:formula1>"Alta,Média,Baixa"</x:formula1>
    </x:dataValidation>
    <x:dataValidation type="list" sqref="I5:I13">
      <x:formula1>"A fazer,Em andamento,Em revisão,Concluído"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d22677f9e04c0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9" hidden="0" customWidth="1"/>
    <x:col min="3" max="3" width="35" hidden="0" customWidth="1"/>
    <x:col min="4" max="4" width="40" hidden="0" customWidth="1"/>
    <x:col min="5" max="5" width="43" hidden="0" customWidth="1"/>
    <x:col min="6" max="6" width="17" hidden="0" customWidth="1"/>
    <x:col min="7" max="7" width="18" hidden="0" customWidth="1"/>
    <x:col min="8" max="8" width="15" hidden="0" customWidth="1"/>
    <x:col min="9" max="9" width="18" hidden="0" customWidth="1"/>
    <x:col min="10" max="10" width="28" hidden="0" customWidth="1"/>
  </x:cols>
  <x:sheetData>
    <x:row r="1" ht="40" customHeight="1">
      <x:c r="A1" s="4" t="str">
        <x:v>KANBAN · TAREFAS PARA O TRELLO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Modelo de cartões. Não indica que exista quadro no Trello ou que alguma tarefa tenha sido executada.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2" customHeight="1">
      <x:c r="A4" s="19" t="str">
        <x:v>ID</x:v>
      </x:c>
      <x:c r="B4" s="19" t="str">
        <x:v>Frente</x:v>
      </x:c>
      <x:c r="C4" s="19" t="str">
        <x:v>Título do cartão</x:v>
      </x:c>
      <x:c r="D4" s="19" t="str">
        <x:v>Descrição</x:v>
      </x:c>
      <x:c r="E4" s="19" t="str">
        <x:v>Evidência / pronto quando</x:v>
      </x:c>
      <x:c r="F4" s="19" t="str">
        <x:v>Situação</x:v>
      </x:c>
      <x:c r="G4" s="19" t="str">
        <x:v>Responsável</x:v>
      </x:c>
      <x:c r="H4" s="19" t="str">
        <x:v>Importância</x:v>
      </x:c>
      <x:c r="I4" s="19" t="str">
        <x:v>História ligada</x:v>
      </x:c>
      <x:c r="J4" s="19" t="str">
        <x:v>Link / evidência</x:v>
      </x:c>
    </x:row>
    <x:row r="5" ht="54" customHeight="1">
      <x:c r="A5" s="24" t="str">
        <x:v>US01</x:v>
      </x:c>
      <x:c r="B5" s="24" t="str">
        <x:v>Produto</x:v>
      </x:c>
      <x:c r="C5" s="24" t="str">
        <x:v>US01 - Cadastro e acesso</x:v>
      </x:c>
      <x:c r="D5" s="24" t="str">
        <x:v>História do produto; dependências: Nenhuma. Importância: Alta.</x:v>
      </x:c>
      <x:c r="E5" s="24" t="str">
        <x:v>Verificar critérios de aceitação na seção de User Stories. Protótipo: Baixa e média.</x:v>
      </x:c>
      <x:c r="F5" s="24" t="str">
        <x:v>A fazer</x:v>
      </x:c>
      <x:c r="G5" s="24" t="str">
        <x:v>A definir</x:v>
      </x:c>
      <x:c r="H5" s="24" t="str">
        <x:v>Alta</x:v>
      </x:c>
      <x:c r="I5" s="24" t="str">
        <x:v>US01</x:v>
      </x:c>
      <x:c r="J5" s="24" t="str"/>
    </x:row>
    <x:row r="6" ht="54" customHeight="1">
      <x:c r="A6" s="24" t="str">
        <x:v>US02</x:v>
      </x:c>
      <x:c r="B6" s="24" t="str">
        <x:v>Produto</x:v>
      </x:c>
      <x:c r="C6" s="24" t="str">
        <x:v>US02 - Turmas e disciplinas</x:v>
      </x:c>
      <x:c r="D6" s="24" t="str">
        <x:v>História do produto; dependências: US01. Importância: Alta.</x:v>
      </x:c>
      <x:c r="E6" s="24" t="str">
        <x:v>Verificar critérios de aceitação na seção de User Stories. Protótipo: Baixa e média.</x:v>
      </x:c>
      <x:c r="F6" s="24" t="str">
        <x:v>A fazer</x:v>
      </x:c>
      <x:c r="G6" s="24" t="str">
        <x:v>A definir</x:v>
      </x:c>
      <x:c r="H6" s="24" t="str">
        <x:v>Alta</x:v>
      </x:c>
      <x:c r="I6" s="24" t="str">
        <x:v>US02</x:v>
      </x:c>
      <x:c r="J6" s="24" t="str"/>
    </x:row>
    <x:row r="7" ht="54" customHeight="1">
      <x:c r="A7" s="24" t="str">
        <x:v>US03</x:v>
      </x:c>
      <x:c r="B7" s="24" t="str">
        <x:v>Produto</x:v>
      </x:c>
      <x:c r="C7" s="24" t="str">
        <x:v>US03 - Criação de rascunho de plano</x:v>
      </x:c>
      <x:c r="D7" s="24" t="str">
        <x:v>História do produto; dependências: US01, US02. Importância: Alta.</x:v>
      </x:c>
      <x:c r="E7" s="24" t="str">
        <x:v>Verificar critérios de aceitação na seção de User Stories. Protótipo: Baixa e média.</x:v>
      </x:c>
      <x:c r="F7" s="24" t="str">
        <x:v>A fazer</x:v>
      </x:c>
      <x:c r="G7" s="24" t="str">
        <x:v>A definir</x:v>
      </x:c>
      <x:c r="H7" s="24" t="str">
        <x:v>Alta</x:v>
      </x:c>
      <x:c r="I7" s="24" t="str">
        <x:v>US03</x:v>
      </x:c>
      <x:c r="J7" s="24" t="str"/>
    </x:row>
    <x:row r="8" ht="54" customHeight="1">
      <x:c r="A8" s="24" t="str">
        <x:v>US04</x:v>
      </x:c>
      <x:c r="B8" s="24" t="str">
        <x:v>Produto</x:v>
      </x:c>
      <x:c r="C8" s="24" t="str">
        <x:v>US04 - Sugestões opcionais por IA</x:v>
      </x:c>
      <x:c r="D8" s="24" t="str">
        <x:v>História do produto; dependências: US03. Importância: Alta.</x:v>
      </x:c>
      <x:c r="E8" s="24" t="str">
        <x:v>Verificar critérios de aceitação na seção de User Stories. Protótipo: Média.</x:v>
      </x:c>
      <x:c r="F8" s="24" t="str">
        <x:v>A fazer</x:v>
      </x:c>
      <x:c r="G8" s="24" t="str">
        <x:v>A definir</x:v>
      </x:c>
      <x:c r="H8" s="24" t="str">
        <x:v>Alta</x:v>
      </x:c>
      <x:c r="I8" s="24" t="str">
        <x:v>US04</x:v>
      </x:c>
      <x:c r="J8" s="24" t="str"/>
    </x:row>
    <x:row r="9" ht="54" customHeight="1">
      <x:c r="A9" s="24" t="str">
        <x:v>US05</x:v>
      </x:c>
      <x:c r="B9" s="24" t="str">
        <x:v>Produto</x:v>
      </x:c>
      <x:c r="C9" s="24" t="str">
        <x:v>US05 - Revisão e finalização</x:v>
      </x:c>
      <x:c r="D9" s="24" t="str">
        <x:v>História do produto; dependências: US03, US04 (opcional). Importância: Alta.</x:v>
      </x:c>
      <x:c r="E9" s="24" t="str">
        <x:v>Verificar critérios de aceitação na seção de User Stories. Protótipo: Média.</x:v>
      </x:c>
      <x:c r="F9" s="24" t="str">
        <x:v>A fazer</x:v>
      </x:c>
      <x:c r="G9" s="24" t="str">
        <x:v>A definir</x:v>
      </x:c>
      <x:c r="H9" s="24" t="str">
        <x:v>Alta</x:v>
      </x:c>
      <x:c r="I9" s="24" t="str">
        <x:v>US05</x:v>
      </x:c>
      <x:c r="J9" s="24" t="str"/>
    </x:row>
    <x:row r="10" ht="54" customHeight="1">
      <x:c r="A10" s="24" t="str">
        <x:v>US06</x:v>
      </x:c>
      <x:c r="B10" s="24" t="str">
        <x:v>Produto</x:v>
      </x:c>
      <x:c r="C10" s="24" t="str">
        <x:v>US06 - Histórico e filtros</x:v>
      </x:c>
      <x:c r="D10" s="24" t="str">
        <x:v>História do produto; dependências: US03. Importância: Alta.</x:v>
      </x:c>
      <x:c r="E10" s="24" t="str">
        <x:v>Verificar critérios de aceitação na seção de User Stories. Protótipo: Média.</x:v>
      </x:c>
      <x:c r="F10" s="24" t="str">
        <x:v>A fazer</x:v>
      </x:c>
      <x:c r="G10" s="24" t="str">
        <x:v>A definir</x:v>
      </x:c>
      <x:c r="H10" s="24" t="str">
        <x:v>Alta</x:v>
      </x:c>
      <x:c r="I10" s="24" t="str">
        <x:v>US06</x:v>
      </x:c>
      <x:c r="J10" s="24" t="str"/>
    </x:row>
    <x:row r="11" ht="54" customHeight="1">
      <x:c r="A11" s="24" t="str">
        <x:v>US07</x:v>
      </x:c>
      <x:c r="B11" s="24" t="str">
        <x:v>Produto</x:v>
      </x:c>
      <x:c r="C11" s="24" t="str">
        <x:v>US07 - Duplicação de planos</x:v>
      </x:c>
      <x:c r="D11" s="24" t="str">
        <x:v>História do produto; dependências: US03, US06. Importância: Média.</x:v>
      </x:c>
      <x:c r="E11" s="24" t="str">
        <x:v>Verificar critérios de aceitação na seção de User Stories. Protótipo: Futura.</x:v>
      </x:c>
      <x:c r="F11" s="24" t="str">
        <x:v>A fazer</x:v>
      </x:c>
      <x:c r="G11" s="24" t="str">
        <x:v>A definir</x:v>
      </x:c>
      <x:c r="H11" s="24" t="str">
        <x:v>Média</x:v>
      </x:c>
      <x:c r="I11" s="24" t="str">
        <x:v>US07</x:v>
      </x:c>
      <x:c r="J11" s="24" t="str"/>
    </x:row>
    <x:row r="12" ht="54" customHeight="1">
      <x:c r="A12" s="24" t="str">
        <x:v>US08</x:v>
      </x:c>
      <x:c r="B12" s="24" t="str">
        <x:v>Produto</x:v>
      </x:c>
      <x:c r="C12" s="24" t="str">
        <x:v>US08 - Exportação para PDF</x:v>
      </x:c>
      <x:c r="D12" s="24" t="str">
        <x:v>História do produto; dependências: US05. Importância: Média.</x:v>
      </x:c>
      <x:c r="E12" s="24" t="str">
        <x:v>Verificar critérios de aceitação na seção de User Stories. Protótipo: Futura.</x:v>
      </x:c>
      <x:c r="F12" s="24" t="str">
        <x:v>A fazer</x:v>
      </x:c>
      <x:c r="G12" s="24" t="str">
        <x:v>A definir</x:v>
      </x:c>
      <x:c r="H12" s="24" t="str">
        <x:v>Média</x:v>
      </x:c>
      <x:c r="I12" s="24" t="str">
        <x:v>US08</x:v>
      </x:c>
      <x:c r="J12" s="24" t="str"/>
    </x:row>
    <x:row r="13" ht="54" customHeight="1">
      <x:c r="A13" s="24" t="str">
        <x:v>US09</x:v>
      </x:c>
      <x:c r="B13" s="24" t="str">
        <x:v>Produto</x:v>
      </x:c>
      <x:c r="C13" s="24" t="str">
        <x:v>US09 - Compartilhamento controlado</x:v>
      </x:c>
      <x:c r="D13" s="24" t="str">
        <x:v>História do produto; dependências: US01, US05. Importância: Baixa.</x:v>
      </x:c>
      <x:c r="E13" s="24" t="str">
        <x:v>Verificar critérios de aceitação na seção de User Stories. Protótipo: Futura.</x:v>
      </x:c>
      <x:c r="F13" s="24" t="str">
        <x:v>A fazer</x:v>
      </x:c>
      <x:c r="G13" s="24" t="str">
        <x:v>A definir</x:v>
      </x:c>
      <x:c r="H13" s="24" t="str">
        <x:v>Baixa</x:v>
      </x:c>
      <x:c r="I13" s="24" t="str">
        <x:v>US09</x:v>
      </x:c>
      <x:c r="J13" s="24" t="str"/>
    </x:row>
    <x:row r="14" ht="54" customHeight="1">
      <x:c r="A14" s="24" t="str">
        <x:v>K01</x:v>
      </x:c>
      <x:c r="B14" s="24" t="str">
        <x:v>Pesquisa</x:v>
      </x:c>
      <x:c r="C14" s="24" t="str">
        <x:v>K01 - Revisar TCLE e liberar questionário</x:v>
      </x:c>
      <x:c r="D14" s="24" t="str">
        <x:v>Verificar TCLE com docente, informar contato e validar consentimento.</x:v>
      </x:c>
      <x:c r="E14" s="24" t="str">
        <x:v>TCLE revisado e formulário aprovado</x:v>
      </x:c>
      <x:c r="F14" s="24" t="str">
        <x:v>A fazer</x:v>
      </x:c>
      <x:c r="G14" s="24" t="str">
        <x:v>A definir</x:v>
      </x:c>
      <x:c r="H14" s="24" t="str">
        <x:v>Alta</x:v>
      </x:c>
      <x:c r="I14" s="24" t="str"/>
      <x:c r="J14" s="24" t="str"/>
    </x:row>
    <x:row r="15" ht="54" customHeight="1">
      <x:c r="A15" s="24" t="str">
        <x:v>K02</x:v>
      </x:c>
      <x:c r="B15" s="24" t="str">
        <x:v>Pesquisa</x:v>
      </x:c>
      <x:c r="C15" s="24" t="str">
        <x:v>K02 - Aplicar pesquisa e tabular dados</x:v>
      </x:c>
      <x:c r="D15" s="24" t="str">
        <x:v>Convidar docentes adultos; obter consentimento; tabular apenas respostas reais sem identificadores.</x:v>
      </x:c>
      <x:c r="E15" s="24" t="str">
        <x:v>Planilha anonimizada e link de coleta</x:v>
      </x:c>
      <x:c r="F15" s="24" t="str">
        <x:v>A fazer</x:v>
      </x:c>
      <x:c r="G15" s="24" t="str">
        <x:v>A definir</x:v>
      </x:c>
      <x:c r="H15" s="24" t="str">
        <x:v>Alta</x:v>
      </x:c>
      <x:c r="I15" s="24" t="str"/>
      <x:c r="J15" s="24" t="str"/>
    </x:row>
    <x:row r="16" ht="54" customHeight="1">
      <x:c r="A16" s="24" t="str">
        <x:v>K03</x:v>
      </x:c>
      <x:c r="B16" s="24" t="str">
        <x:v>Análise</x:v>
      </x:c>
      <x:c r="C16" s="24" t="str">
        <x:v>K03 - Revisar personas do grupo</x:v>
      </x:c>
      <x:c r="D16" s="24" t="str">
        <x:v>Cada integrante revisa sua versão e o grupo registra a consolidação.</x:v>
      </x:c>
      <x:c r="E16" s="24" t="str">
        <x:v>Três versões individuais e uma consolidada identificadas</x:v>
      </x:c>
      <x:c r="F16" s="24" t="str">
        <x:v>A fazer</x:v>
      </x:c>
      <x:c r="G16" s="24" t="str">
        <x:v>A definir</x:v>
      </x:c>
      <x:c r="H16" s="24" t="str">
        <x:v>Alta</x:v>
      </x:c>
      <x:c r="I16" s="24" t="str"/>
      <x:c r="J16" s="24" t="str"/>
    </x:row>
    <x:row r="17" ht="54" customHeight="1">
      <x:c r="A17" s="24" t="str">
        <x:v>K04</x:v>
      </x:c>
      <x:c r="B17" s="24" t="str">
        <x:v>Requisitos</x:v>
      </x:c>
      <x:c r="C17" s="24" t="str">
        <x:v>K04 - Validar histórias e prioridades</x:v>
      </x:c>
      <x:c r="D17" s="24" t="str">
        <x:v>Revisar critérios, importância, dependências e distribuição de responsabilidades.</x:v>
      </x:c>
      <x:c r="E17" s="24" t="str">
        <x:v>Product Backlog aprovado e rastreável</x:v>
      </x:c>
      <x:c r="F17" s="24" t="str">
        <x:v>A fazer</x:v>
      </x:c>
      <x:c r="G17" s="24" t="str">
        <x:v>A definir</x:v>
      </x:c>
      <x:c r="H17" s="24" t="str">
        <x:v>Alta</x:v>
      </x:c>
      <x:c r="I17" s="24" t="str">
        <x:v>US01–US09</x:v>
      </x:c>
      <x:c r="J17" s="24" t="str"/>
    </x:row>
    <x:row r="18" ht="54" customHeight="1">
      <x:c r="A18" s="24" t="str">
        <x:v>K05</x:v>
      </x:c>
      <x:c r="B18" s="24" t="str">
        <x:v>Protótipos</x:v>
      </x:c>
      <x:c r="C18" s="24" t="str">
        <x:v>K05 - Desenhar fluxo em papel</x:v>
      </x:c>
      <x:c r="D18" s="24" t="str">
        <x:v>Desenhar em papel todos os passos e estados relevantes para US01 a US03; fotografar.</x:v>
      </x:c>
      <x:c r="E18" s="24" t="str">
        <x:v>Fotografias legíveis dos fluxos em baixa fidelidade</x:v>
      </x:c>
      <x:c r="F18" s="24" t="str">
        <x:v>A fazer</x:v>
      </x:c>
      <x:c r="G18" s="24" t="str">
        <x:v>A definir</x:v>
      </x:c>
      <x:c r="H18" s="24" t="str">
        <x:v>Alta</x:v>
      </x:c>
      <x:c r="I18" s="24" t="str">
        <x:v>US01–US03</x:v>
      </x:c>
      <x:c r="J18" s="24" t="str"/>
    </x:row>
    <x:row r="19" ht="54" customHeight="1">
      <x:c r="A19" s="24" t="str">
        <x:v>K06</x:v>
      </x:c>
      <x:c r="B19" s="24" t="str">
        <x:v>Protótipos</x:v>
      </x:c>
      <x:c r="C19" s="24" t="str">
        <x:v>K06 - Montar protótipo navegável no Figma</x:v>
      </x:c>
      <x:c r="D19" s="24" t="str">
        <x:v>Criar telas e conexões clicáveis cobrindo US01 a US06.</x:v>
      </x:c>
      <x:c r="E19" s="24" t="str">
        <x:v>Link de navegação funcional e evidências</x:v>
      </x:c>
      <x:c r="F19" s="24" t="str">
        <x:v>A fazer</x:v>
      </x:c>
      <x:c r="G19" s="24" t="str">
        <x:v>A definir</x:v>
      </x:c>
      <x:c r="H19" s="24" t="str">
        <x:v>Alta</x:v>
      </x:c>
      <x:c r="I19" s="24" t="str">
        <x:v>US01–US06</x:v>
      </x:c>
      <x:c r="J19" s="24" t="str"/>
    </x:row>
    <x:row r="20" ht="54" customHeight="1">
      <x:c r="A20" s="24" t="str">
        <x:v>K07</x:v>
      </x:c>
      <x:c r="B20" s="24" t="str">
        <x:v>Banco de Dados</x:v>
      </x:c>
      <x:c r="C20" s="24" t="str">
        <x:v>K07 - Criar modelo conceitual</x:v>
      </x:c>
      <x:c r="D20" s="24" t="str">
        <x:v>Mapear entidades e relacionamentos a partir das histórias.</x:v>
      </x:c>
      <x:c r="E20" s="24" t="str">
        <x:v>DER conceitual exportado</x:v>
      </x:c>
      <x:c r="F20" s="24" t="str">
        <x:v>A fazer</x:v>
      </x:c>
      <x:c r="G20" s="24" t="str">
        <x:v>A definir</x:v>
      </x:c>
      <x:c r="H20" s="24" t="str">
        <x:v>Alta</x:v>
      </x:c>
      <x:c r="I20" s="24" t="str">
        <x:v>US01–US06</x:v>
      </x:c>
      <x:c r="J20" s="24" t="str"/>
    </x:row>
    <x:row r="21" ht="54" customHeight="1">
      <x:c r="A21" s="24" t="str">
        <x:v>K08</x:v>
      </x:c>
      <x:c r="B21" s="24" t="str">
        <x:v>Banco de Dados</x:v>
      </x:c>
      <x:c r="C21" s="24" t="str">
        <x:v>K08 - Criar modelos lógico e físico</x:v>
      </x:c>
      <x:c r="D21" s="24" t="str">
        <x:v>Definir tabelas, chaves, domínios e tipos de dados.</x:v>
      </x:c>
      <x:c r="E21" s="24" t="str">
        <x:v>Diagrama lógico e modelo físico revisados</x:v>
      </x:c>
      <x:c r="F21" s="24" t="str">
        <x:v>A fazer</x:v>
      </x:c>
      <x:c r="G21" s="24" t="str">
        <x:v>A definir</x:v>
      </x:c>
      <x:c r="H21" s="24" t="str">
        <x:v>Alta</x:v>
      </x:c>
      <x:c r="I21" s="24" t="str">
        <x:v>US01–US06</x:v>
      </x:c>
      <x:c r="J21" s="24" t="str"/>
    </x:row>
    <x:row r="22" ht="54" customHeight="1">
      <x:c r="A22" s="24" t="str">
        <x:v>K09</x:v>
      </x:c>
      <x:c r="B22" s="24" t="str">
        <x:v>Banco de Dados</x:v>
      </x:c>
      <x:c r="C22" s="24" t="str">
        <x:v>K09 - Normalizar e gerar script SQL</x:v>
      </x:c>
      <x:c r="D22" s="24" t="str">
        <x:v>Demonstrar 1FN/2FN/3FN e criar o SQL completo e coerente.</x:v>
      </x:c>
      <x:c r="E22" s="24" t="str">
        <x:v>Justificativa de normalização e arquivo SQL</x:v>
      </x:c>
      <x:c r="F22" s="24" t="str">
        <x:v>A fazer</x:v>
      </x:c>
      <x:c r="G22" s="24" t="str">
        <x:v>A definir</x:v>
      </x:c>
      <x:c r="H22" s="24" t="str">
        <x:v>Alta</x:v>
      </x:c>
      <x:c r="I22" s="24" t="str">
        <x:v>US01–US06</x:v>
      </x:c>
      <x:c r="J22" s="24" t="str"/>
    </x:row>
    <x:row r="23" ht="54" customHeight="1">
      <x:c r="A23" s="24" t="str">
        <x:v>K10</x:v>
      </x:c>
      <x:c r="B23" s="24" t="str">
        <x:v>Relatório</x:v>
      </x:c>
      <x:c r="C23" s="24" t="str">
        <x:v>K10 - Inserir links e evidências no Overleaf</x:v>
      </x:c>
      <x:c r="D23" s="24" t="str">
        <x:v>Referenciar os arquivos reais do Drive, GitHub, Figma e Trello.</x:v>
      </x:c>
      <x:c r="E23" s="24" t="str">
        <x:v>URLs válidas no Capítulo 5</x:v>
      </x:c>
      <x:c r="F23" s="24" t="str">
        <x:v>A fazer</x:v>
      </x:c>
      <x:c r="G23" s="24" t="str">
        <x:v>A definir</x:v>
      </x:c>
      <x:c r="H23" s="24" t="str">
        <x:v>Alta</x:v>
      </x:c>
      <x:c r="I23" s="24" t="str"/>
      <x:c r="J23" s="24" t="str"/>
    </x:row>
    <x:row r="24" ht="54" customHeight="1">
      <x:c r="A24" s="24" t="str">
        <x:v>K11</x:v>
      </x:c>
      <x:c r="B24" s="24" t="str">
        <x:v>Relatório</x:v>
      </x:c>
      <x:c r="C24" s="24" t="str">
        <x:v>K11 - Revisar e enviar relatório parcial</x:v>
      </x:c>
      <x:c r="D24" s="24" t="str">
        <x:v>Conferir capítulos, citações, evidências e compilar PDF para submissão.</x:v>
      </x:c>
      <x:c r="E24" s="24" t="str">
        <x:v>PDF final e comprovante de entrega</x:v>
      </x:c>
      <x:c r="F24" s="24" t="str">
        <x:v>A fazer</x:v>
      </x:c>
      <x:c r="G24" s="24" t="str">
        <x:v>A definir</x:v>
      </x:c>
      <x:c r="H24" s="24" t="str">
        <x:v>Alta</x:v>
      </x:c>
      <x:c r="I24" s="24" t="str"/>
      <x:c r="J24" s="24" t="str"/>
    </x:row>
  </x:sheetData>
  <x:mergeCells>
    <x:mergeCell ref="A1:J1"/>
    <x:mergeCell ref="A2:J2"/>
  </x:mergeCells>
  <x:conditionalFormatting sqref="F5:F24">
    <x:cfRule type="expression" dxfId="2" priority="1">
      <x:formula>F5="Concluído"</x:formula>
    </x:cfRule>
    <x:cfRule type="expression" dxfId="3" priority="2">
      <x:formula>F5="Em andamento"</x:formula>
    </x:cfRule>
  </x:conditionalFormatting>
  <x:dataValidations count="2">
    <x:dataValidation type="list" sqref="F5:F24">
      <x:formula1>"A fazer,Em andamento,Em revisão,Concluído"</x:formula1>
    </x:dataValidation>
    <x:dataValidation type="list" sqref="H5:H24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8b93598b37446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4" t="str">
        <x:v>GUIA DE USO · AULA EM DIA</x:v>
      </x:c>
      <x:c r="B1" s="4"/>
      <x:c r="C1" s="4"/>
      <x:c r="D1" s="4"/>
      <x:c r="E1" s="4"/>
      <x:c r="F1" s="4"/>
    </x:row>
    <x:row r="2" ht="32" customHeight="1">
      <x:c r="A2" s="11" t="str">
        <x:v>Leia estas orientações antes de preencher status, responsáveis e links.</x:v>
      </x:c>
      <x:c r="B2" s="11"/>
      <x:c r="C2" s="11"/>
      <x:c r="D2" s="11"/>
      <x:c r="E2" s="11"/>
      <x:c r="F2" s="11"/>
    </x:row>
    <x:row r="4" ht="30" customHeight="1">
      <x:c r="A4" s="17" t="str">
        <x:v>COMO UTILIZAR ESTE KIT</x:v>
      </x:c>
      <x:c r="B4" s="17"/>
      <x:c r="C4" s="17"/>
      <x:c r="D4" s="17"/>
      <x:c r="E4" s="17"/>
      <x:c r="F4" s="17"/>
    </x:row>
    <x:row r="6" ht="40" customHeight="1">
      <x:c r="A6" s="42" t="str">
        <x:v>1. Revise a importância e as dependências das 9 histórias antes de apresentar o backlog como validado.</x:v>
      </x:c>
      <x:c r="B6" s="42"/>
      <x:c r="C6" s="42"/>
      <x:c r="D6" s="42"/>
      <x:c r="E6" s="42"/>
      <x:c r="F6" s="42"/>
    </x:row>
    <x:row r="7" ht="40" customHeight="1">
      <x:c r="A7" s="48" t="str">
        <x:v>2. Em Product Backlog, atualize Situação, Responsável e Link / evidência à medida que houver trabalho real.</x:v>
      </x:c>
      <x:c r="B7" s="48"/>
      <x:c r="C7" s="48"/>
      <x:c r="D7" s="48"/>
      <x:c r="E7" s="48"/>
      <x:c r="F7" s="48"/>
    </x:row>
    <x:row r="8" ht="40" customHeight="1">
      <x:c r="A8" s="42" t="str">
        <x:v>3. Em Kanban - Tarefas, atribua responsáveis e mova as tarefas entre as quatro situações.</x:v>
      </x:c>
      <x:c r="B8" s="42"/>
      <x:c r="C8" s="42"/>
      <x:c r="D8" s="42"/>
      <x:c r="E8" s="42"/>
      <x:c r="F8" s="42"/>
    </x:row>
    <x:row r="9" ht="40" customHeight="1">
      <x:c r="A9" s="48" t="str">
        <x:v>4. Crie um quadro Trello e registre os mesmos cartões. Esta planilha NÃO publica um quadro automaticamente.</x:v>
      </x:c>
      <x:c r="B9" s="48"/>
      <x:c r="C9" s="48"/>
      <x:c r="D9" s="48"/>
      <x:c r="E9" s="48"/>
      <x:c r="F9" s="48"/>
    </x:row>
    <x:row r="10" ht="40" customHeight="1">
      <x:c r="A10" s="42" t="str">
        <x:v>5. Guarde links do Figma, SQL, respostas anonimizadas e capturas do Trello e inclua-os no Overleaf.</x:v>
      </x:c>
      <x:c r="B10" s="42"/>
      <x:c r="C10" s="42"/>
      <x:c r="D10" s="42"/>
      <x:c r="E10" s="42"/>
      <x:c r="F10" s="42"/>
    </x:row>
    <x:row r="11" ht="40" customHeight="1">
      <x:c r="A11" s="48" t="str">
        <x:v>6. Não registre pesquisa aplicada, protótipo executado ou software implementado sem evidência.</x:v>
      </x:c>
      <x:c r="B11" s="48"/>
      <x:c r="C11" s="48"/>
      <x:c r="D11" s="48"/>
      <x:c r="E11" s="48"/>
      <x:c r="F11" s="48"/>
    </x:row>
    <x:row r="12" ht="40" customHeight="1">
      <x:c r="A12" s="42" t="str">
        <x:v>7. O CSV fornecido serve como referência: importação automática depende de ferramenta ou recurso disponível na sua conta.</x:v>
      </x:c>
      <x:c r="B12" s="42"/>
      <x:c r="C12" s="42"/>
      <x:c r="D12" s="42"/>
      <x:c r="E12" s="42"/>
      <x:c r="F12" s="42"/>
    </x:row>
  </x:sheetData>
  <x:mergeCells>
    <x:mergeCell ref="A1:F1"/>
    <x:mergeCell ref="A2:F2"/>
    <x:mergeCell ref="A4:F4"/>
    <x:mergeCell ref="A6:F6"/>
    <x:mergeCell ref="A7:F7"/>
    <x:mergeCell ref="A8:F8"/>
    <x:mergeCell ref="A9:F9"/>
    <x:mergeCell ref="A10:F10"/>
    <x:mergeCell ref="A11:F11"/>
    <x:mergeCell ref="A12:F12"/>
  </x:mergeCells>
  <x:pageMargins left="0.7" right="0.7" top="0.75" bottom="0.75" header="0.3" footer="0.3"/>
</x:worksheet>
</file>